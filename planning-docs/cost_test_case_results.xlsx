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Log" sheetId="2" state="visible" r:id="rId4"/>
    <sheet name="Compariso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<sst xmlns="http://schemas.openxmlformats.org/spreadsheetml/2006/main" count="71" uniqueCount="54">
  <si>
    <t xml:space="preserve">Cost Test Case — Results Log: คำแนะนำการใช้งาน</t>
  </si>
  <si>
    <t xml:space="preserve">วัตถุประสงค์ไฟล์นี้</t>
  </si>
  <si>
    <t xml:space="preserve">ใช้บันทึกผลการทดลองเปรียบเทียบอัตราการเพิ่มค่าใช้จ่าย (Cost) ระหว่าง AWS และ GCP ตามแผนที่อธิบายไว้ใน Cost_Test_Case_Protocol.docx</t>
  </si>
  <si>
    <t xml:space="preserve">แท็บ Test Log</t>
  </si>
  <si>
    <t xml:space="preserve">กรอกผลดิบของแต่ละการทดลอง มี 6 แถวเตรียมไว้ให้ (3 Test Case x 2 Cloud) — กรอกเฉพาะช่องพื้นหลังสีเหลือง เท่านั้น ช่องอื่นคำนวณอัตโนมัติ</t>
  </si>
  <si>
    <t xml:space="preserve">แท็บ Comparison Summary</t>
  </si>
  <si>
    <t xml:space="preserve">สรุปเปรียบเทียบ AWS vs GCP อัตโนมัติด้วยสูตร (ดึงจากแท็บ Test Log) ไม่ต้องกรอกอะไรเพิ่ม</t>
  </si>
  <si>
    <t xml:space="preserve">สีที่ใช้ในไฟล์</t>
  </si>
  <si>
    <t xml:space="preserve">พื้นหลังสีเหลืองอ่อน = ช่องที่ต้องกรอกเอง (Input)</t>
  </si>
  <si>
    <t xml:space="preserve">พื้นหลังสีเทาอ่อน = คำนวณอัตโนมัติด้วยสูตร ห้ามแก้</t>
  </si>
  <si>
    <t xml:space="preserve">แถวสีเทาเข้ม (EXAMPLE) = แถวตัวอย่างสาธิตการกรอก ไม่ใช่ข้อมูลจริง</t>
  </si>
  <si>
    <t xml:space="preserve">Test Log — บันทึกผลดิบของแต่ละการทดลอง</t>
  </si>
  <si>
    <t xml:space="preserve">Test ID</t>
  </si>
  <si>
    <t xml:space="preserve">Test Type</t>
  </si>
  <si>
    <t xml:space="preserve">Cloud</t>
  </si>
  <si>
    <t xml:space="preserve">Resource</t>
  </si>
  <si>
    <t xml:space="preserve">Action Description</t>
  </si>
  <si>
    <t xml:space="preserve">Baseline Cost (USD)</t>
  </si>
  <si>
    <t xml:space="preserve">Start Timestamp
(Action เริ่ม)</t>
  </si>
  <si>
    <t xml:space="preserve">End Timestamp
(Revert เสร็จ)</t>
  </si>
  <si>
    <t xml:space="preserve">Duration (hr)</t>
  </si>
  <si>
    <t xml:space="preserve">Post-Action Cost
Observed (USD)</t>
  </si>
  <si>
    <t xml:space="preserve">Cost Delta (USD)</t>
  </si>
  <si>
    <t xml:space="preserve">First Change Detected
(Timestamp)</t>
  </si>
  <si>
    <t xml:space="preserve">Detection Latency (hr)</t>
  </si>
  <si>
    <t xml:space="preserve">Notes</t>
  </si>
  <si>
    <t xml:space="preserve">EXAMPLE</t>
  </si>
  <si>
    <t xml:space="preserve">Compute</t>
  </si>
  <si>
    <t xml:space="preserve">AWS</t>
  </si>
  <si>
    <t xml:space="preserve">ec2-target-01 (ตัวอย่าง)</t>
  </si>
  <si>
    <t xml:space="preserve">Resize t2.micro -&gt; t3.small เป็นเวลา 1 ชม. แล้ว Revert กลับ</t>
  </si>
  <si>
    <t xml:space="preserve">2026-08-10 14:00</t>
  </si>
  <si>
    <t xml:space="preserve">2026-08-10 15:00</t>
  </si>
  <si>
    <t xml:space="preserve">2026-08-11 01:15</t>
  </si>
  <si>
    <t xml:space="preserve">แถวนี้เป็นตัวอย่างสาธิตการกรอกเท่านั้น ไม่ใช่ข้อมูลจริง</t>
  </si>
  <si>
    <t xml:space="preserve">TC-01</t>
  </si>
  <si>
    <t xml:space="preserve">ec2-target-01</t>
  </si>
  <si>
    <t xml:space="preserve">TC-02</t>
  </si>
  <si>
    <t xml:space="preserve">GCP</t>
  </si>
  <si>
    <t xml:space="preserve">gcp-target-01</t>
  </si>
  <si>
    <t xml:space="preserve">TC-03</t>
  </si>
  <si>
    <t xml:space="preserve">Storage</t>
  </si>
  <si>
    <t xml:space="preserve">TC-04</t>
  </si>
  <si>
    <t xml:space="preserve">TC-05</t>
  </si>
  <si>
    <t xml:space="preserve">Network</t>
  </si>
  <si>
    <t xml:space="preserve">TC-06</t>
  </si>
  <si>
    <t xml:space="preserve">Comparison Summary — สรุปเปรียบเทียบ AWS vs GCP (คำนวณอัตโนมัติ)</t>
  </si>
  <si>
    <t xml:space="preserve">AWS Cost Delta (USD)</t>
  </si>
  <si>
    <t xml:space="preserve">GCP Cost Delta (USD)</t>
  </si>
  <si>
    <t xml:space="preserve">Cost Delta ต่างกัน (USD)</t>
  </si>
  <si>
    <t xml:space="preserve">AWS Detection Latency (hr)</t>
  </si>
  <si>
    <t xml:space="preserve">GCP Detection Latency (hr)</t>
  </si>
  <si>
    <t xml:space="preserve">หมายเหตุ:</t>
  </si>
  <si>
    <t xml:space="preserve">ตารางนี้คำนวณจากแท็บ Test Log อัตโนมัติด้วย AVERAGEIFS — ถ้า Test Type ใดยังไม่มีข้อมูลกรอก ช่องจะแสดงว่างเปล่า ไม่ใช่ Error หลังกรอกข้อมูลใน Test Log ครบ ตารางนี้จะอัปเดตให้เองทันที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</si>
</sst>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00"/>
    <numFmt numFmtId="167" formatCode="yyyy\-mm\-dd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.5"/>
      <name val="Arial"/>
      <family val="0"/>
      <charset val="1"/>
    </font>
    <font>
      <sz val="9.5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6324F"/>
      </patternFill>
    </fill>
    <fill>
      <patternFill patternType="solid">
        <fgColor rgb="FFFFFDE7"/>
        <bgColor rgb="FFFFFFFF"/>
      </patternFill>
    </fill>
    <fill>
      <patternFill patternType="solid">
        <fgColor rgb="FFF6F8FA"/>
        <bgColor rgb="FFFFFFFF"/>
      </patternFill>
    </fill>
    <fill>
      <patternFill patternType="solid">
        <fgColor rgb="FFF0F0F0"/>
        <bgColor rgb="FFF6F8FA"/>
      </patternFill>
    </fill>
    <fill>
      <patternFill patternType="solid">
        <fgColor rgb="FF16324F"/>
        <bgColor rgb="FF1F3A5F"/>
      </patternFill>
    </fill>
    <fill>
      <patternFill patternType="solid">
        <fgColor rgb="FFFFFFFF"/>
        <bgColor rgb="FFF6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0F0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4" customFormat="false" ht="23.8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</row>
    <row r="6" customFormat="false" ht="23.85" hidden="false" customHeight="true" outlineLevel="0" collapsed="false">
      <c r="A6" s="2" t="s">
        <v>3</v>
      </c>
      <c r="B6" s="3" t="s">
        <v>4</v>
      </c>
      <c r="C6" s="3"/>
      <c r="D6" s="3"/>
      <c r="E6" s="3"/>
      <c r="F6" s="3"/>
    </row>
    <row r="8" customFormat="false" ht="15" hidden="false" customHeight="true" outlineLevel="0" collapsed="false">
      <c r="A8" s="2" t="s">
        <v>5</v>
      </c>
      <c r="B8" s="3" t="s">
        <v>6</v>
      </c>
      <c r="C8" s="3"/>
      <c r="D8" s="3"/>
      <c r="E8" s="3"/>
      <c r="F8" s="3"/>
    </row>
    <row r="10" customFormat="false" ht="15" hidden="false" customHeight="false" outlineLevel="0" collapsed="false">
      <c r="A10" s="2" t="s">
        <v>7</v>
      </c>
      <c r="B10" s="3"/>
      <c r="C10" s="3"/>
      <c r="D10" s="3"/>
      <c r="E10" s="3"/>
      <c r="F10" s="3"/>
    </row>
    <row r="12" customFormat="false" ht="15" hidden="false" customHeight="false" outlineLevel="0" collapsed="false">
      <c r="A12" s="4"/>
      <c r="B12" s="5" t="s">
        <v>8</v>
      </c>
      <c r="C12" s="5"/>
      <c r="D12" s="5"/>
      <c r="E12" s="5"/>
      <c r="F12" s="5"/>
    </row>
    <row r="13" customFormat="false" ht="15" hidden="false" customHeight="false" outlineLevel="0" collapsed="false">
      <c r="A13" s="6"/>
      <c r="B13" s="5" t="s">
        <v>9</v>
      </c>
      <c r="C13" s="5"/>
      <c r="D13" s="5"/>
      <c r="E13" s="5"/>
      <c r="F13" s="5"/>
    </row>
    <row r="14" customFormat="false" ht="15" hidden="false" customHeight="false" outlineLevel="0" collapsed="false">
      <c r="A14" s="7"/>
      <c r="B14" s="5" t="s">
        <v>10</v>
      </c>
      <c r="C14" s="5"/>
      <c r="D14" s="5"/>
      <c r="E14" s="5"/>
      <c r="F14" s="5"/>
    </row>
  </sheetData>
  <mergeCells count="8">
    <mergeCell ref="A1:F1"/>
    <mergeCell ref="B4:F4"/>
    <mergeCell ref="B6:F6"/>
    <mergeCell ref="B8:F8"/>
    <mergeCell ref="B10:F10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25.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42" hidden="false" customHeight="true" outlineLevel="0" collapsed="false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</row>
    <row r="4" customFormat="false" ht="23.85" hidden="false" customHeight="false" outlineLevel="0" collapsed="false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n">
        <v>0</v>
      </c>
      <c r="G4" s="9" t="s">
        <v>31</v>
      </c>
      <c r="H4" s="9" t="s">
        <v>32</v>
      </c>
      <c r="I4" s="10" t="n">
        <f aca="false">IF(OR(G4="",H4=""),"",(H4-G4)*24)</f>
        <v>0.999999999941792</v>
      </c>
      <c r="J4" s="9" t="n">
        <v>0.021</v>
      </c>
      <c r="K4" s="11" t="n">
        <f aca="false">IF(OR(F4="",J4=""),"",J4-F4)</f>
        <v>0.021</v>
      </c>
      <c r="L4" s="9" t="s">
        <v>33</v>
      </c>
      <c r="M4" s="10" t="n">
        <f aca="false">IF(OR(G4="",L4=""),"",(L4-G4)*24)</f>
        <v>11.25</v>
      </c>
      <c r="N4" s="9" t="s">
        <v>34</v>
      </c>
    </row>
    <row r="5" customFormat="false" ht="30" hidden="false" customHeight="true" outlineLevel="0" collapsed="false">
      <c r="A5" s="12" t="s">
        <v>35</v>
      </c>
      <c r="B5" s="12" t="s">
        <v>27</v>
      </c>
      <c r="C5" s="12" t="s">
        <v>28</v>
      </c>
      <c r="D5" s="12" t="s">
        <v>36</v>
      </c>
      <c r="E5" s="12"/>
      <c r="F5" s="13"/>
      <c r="G5" s="14"/>
      <c r="H5" s="14"/>
      <c r="I5" s="15" t="str">
        <f aca="false">IF(OR(G5="",H5=""),"",(H5-G5)*24)</f>
        <v/>
      </c>
      <c r="J5" s="13"/>
      <c r="K5" s="16" t="str">
        <f aca="false">IF(OR(F5="",J5=""),"",J5-F5)</f>
        <v/>
      </c>
      <c r="L5" s="14"/>
      <c r="M5" s="15" t="str">
        <f aca="false">IF(OR(G5="",L5=""),"",(L5-G5)*24)</f>
        <v/>
      </c>
      <c r="N5" s="17"/>
    </row>
    <row r="6" customFormat="false" ht="30" hidden="false" customHeight="true" outlineLevel="0" collapsed="false">
      <c r="A6" s="18" t="s">
        <v>37</v>
      </c>
      <c r="B6" s="18" t="s">
        <v>27</v>
      </c>
      <c r="C6" s="18" t="s">
        <v>38</v>
      </c>
      <c r="D6" s="18" t="s">
        <v>39</v>
      </c>
      <c r="E6" s="18"/>
      <c r="F6" s="13"/>
      <c r="G6" s="14"/>
      <c r="H6" s="14"/>
      <c r="I6" s="19" t="str">
        <f aca="false">IF(OR(G6="",H6=""),"",(H6-G6)*24)</f>
        <v/>
      </c>
      <c r="J6" s="13"/>
      <c r="K6" s="20" t="str">
        <f aca="false">IF(OR(F6="",J6=""),"",J6-F6)</f>
        <v/>
      </c>
      <c r="L6" s="14"/>
      <c r="M6" s="19" t="str">
        <f aca="false">IF(OR(G6="",L6=""),"",(L6-G6)*24)</f>
        <v/>
      </c>
      <c r="N6" s="17"/>
    </row>
    <row r="7" customFormat="false" ht="30" hidden="false" customHeight="true" outlineLevel="0" collapsed="false">
      <c r="A7" s="12" t="s">
        <v>40</v>
      </c>
      <c r="B7" s="12" t="s">
        <v>41</v>
      </c>
      <c r="C7" s="12" t="s">
        <v>28</v>
      </c>
      <c r="D7" s="12" t="s">
        <v>36</v>
      </c>
      <c r="E7" s="12"/>
      <c r="F7" s="13"/>
      <c r="G7" s="14"/>
      <c r="H7" s="14"/>
      <c r="I7" s="15" t="str">
        <f aca="false">IF(OR(G7="",H7=""),"",(H7-G7)*24)</f>
        <v/>
      </c>
      <c r="J7" s="13"/>
      <c r="K7" s="16" t="str">
        <f aca="false">IF(OR(F7="",J7=""),"",J7-F7)</f>
        <v/>
      </c>
      <c r="L7" s="14"/>
      <c r="M7" s="15" t="str">
        <f aca="false">IF(OR(G7="",L7=""),"",(L7-G7)*24)</f>
        <v/>
      </c>
      <c r="N7" s="17"/>
    </row>
    <row r="8" customFormat="false" ht="30" hidden="false" customHeight="true" outlineLevel="0" collapsed="false">
      <c r="A8" s="18" t="s">
        <v>42</v>
      </c>
      <c r="B8" s="18" t="s">
        <v>41</v>
      </c>
      <c r="C8" s="18" t="s">
        <v>38</v>
      </c>
      <c r="D8" s="18" t="s">
        <v>39</v>
      </c>
      <c r="E8" s="18"/>
      <c r="F8" s="13"/>
      <c r="G8" s="14"/>
      <c r="H8" s="14"/>
      <c r="I8" s="19" t="str">
        <f aca="false">IF(OR(G8="",H8=""),"",(H8-G8)*24)</f>
        <v/>
      </c>
      <c r="J8" s="13"/>
      <c r="K8" s="20" t="str">
        <f aca="false">IF(OR(F8="",J8=""),"",J8-F8)</f>
        <v/>
      </c>
      <c r="L8" s="14"/>
      <c r="M8" s="19" t="str">
        <f aca="false">IF(OR(G8="",L8=""),"",(L8-G8)*24)</f>
        <v/>
      </c>
      <c r="N8" s="17"/>
    </row>
    <row r="9" customFormat="false" ht="30" hidden="false" customHeight="true" outlineLevel="0" collapsed="false">
      <c r="A9" s="12" t="s">
        <v>43</v>
      </c>
      <c r="B9" s="12" t="s">
        <v>44</v>
      </c>
      <c r="C9" s="12" t="s">
        <v>28</v>
      </c>
      <c r="D9" s="12" t="s">
        <v>36</v>
      </c>
      <c r="E9" s="12"/>
      <c r="F9" s="13"/>
      <c r="G9" s="14"/>
      <c r="H9" s="14"/>
      <c r="I9" s="15" t="str">
        <f aca="false">IF(OR(G9="",H9=""),"",(H9-G9)*24)</f>
        <v/>
      </c>
      <c r="J9" s="13"/>
      <c r="K9" s="16" t="str">
        <f aca="false">IF(OR(F9="",J9=""),"",J9-F9)</f>
        <v/>
      </c>
      <c r="L9" s="14"/>
      <c r="M9" s="15" t="str">
        <f aca="false">IF(OR(G9="",L9=""),"",(L9-G9)*24)</f>
        <v/>
      </c>
      <c r="N9" s="17"/>
    </row>
    <row r="10" customFormat="false" ht="30" hidden="false" customHeight="true" outlineLevel="0" collapsed="false">
      <c r="A10" s="18" t="s">
        <v>45</v>
      </c>
      <c r="B10" s="18" t="s">
        <v>44</v>
      </c>
      <c r="C10" s="18" t="s">
        <v>38</v>
      </c>
      <c r="D10" s="18" t="s">
        <v>39</v>
      </c>
      <c r="E10" s="18"/>
      <c r="F10" s="13"/>
      <c r="G10" s="14"/>
      <c r="H10" s="14"/>
      <c r="I10" s="19" t="str">
        <f aca="false">IF(OR(G10="",H10=""),"",(H10-G10)*24)</f>
        <v/>
      </c>
      <c r="J10" s="13"/>
      <c r="K10" s="20" t="str">
        <f aca="false">IF(OR(F10="",J10=""),"",J10-F10)</f>
        <v/>
      </c>
      <c r="L10" s="14"/>
      <c r="M10" s="19" t="str">
        <f aca="false">IF(OR(G10="",L10=""),"",(L10-G10)*24)</f>
        <v/>
      </c>
      <c r="N10" s="17"/>
    </row>
  </sheetData>
  <mergeCells count="1">
    <mergeCell ref="A1:N1"/>
  </mergeCells>
  <dataValidations count="2">
    <dataValidation allowBlank="true" errorStyle="stop" operator="between" showDropDown="false" showErrorMessage="false" showInputMessage="false" sqref="B5:B10" type="list">
      <formula1>"Compute,Storage,Network"</formula1>
      <formula2>0</formula2>
    </dataValidation>
    <dataValidation allowBlank="true" errorStyle="stop" operator="between" showDropDown="false" showErrorMessage="false" showInputMessage="false" sqref="C5:C10" type="list">
      <formula1>"AWS,GCP"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0"/>
    <col collapsed="false" customWidth="true" hidden="false" outlineLevel="0" max="6" min="5" style="0" width="22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</row>
    <row r="3" customFormat="false" ht="33.75" hidden="false" customHeight="true" outlineLevel="0" collapsed="false">
      <c r="A3" s="8" t="s">
        <v>13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</row>
    <row r="4" customFormat="false" ht="21.75" hidden="false" customHeight="true" outlineLevel="0" collapsed="false">
      <c r="A4" s="21" t="s">
        <v>27</v>
      </c>
      <c r="B4" s="22" t="str">
        <f aca="false">IFERROR(AVERAGEIFS('Test Log'!$K$5:$K$10,'Test Log'!$B$5:$B$10,$A4,'Test Log'!$C$5:$C$10,"AWS"),"")</f>
        <v/>
      </c>
      <c r="C4" s="22" t="str">
        <f aca="false">IFERROR(AVERAGEIFS('Test Log'!$K$5:$K$10,'Test Log'!$B$5:$B$10,$A4,'Test Log'!$C$5:$C$10,"GCP"),"")</f>
        <v/>
      </c>
      <c r="D4" s="22" t="str">
        <f aca="false">IFERROR(B4-C4,"")</f>
        <v/>
      </c>
      <c r="E4" s="23" t="str">
        <f aca="false">IFERROR(AVERAGEIFS('Test Log'!$M$5:$M$10,'Test Log'!$B$5:$B$10,$A4,'Test Log'!$C$5:$C$10,"AWS"),"")</f>
        <v/>
      </c>
      <c r="F4" s="23" t="str">
        <f aca="false">IFERROR(AVERAGEIFS('Test Log'!$M$5:$M$10,'Test Log'!$B$5:$B$10,$A4,'Test Log'!$C$5:$C$10,"GCP"),"")</f>
        <v/>
      </c>
    </row>
    <row r="5" customFormat="false" ht="21.75" hidden="false" customHeight="true" outlineLevel="0" collapsed="false">
      <c r="A5" s="24" t="s">
        <v>41</v>
      </c>
      <c r="B5" s="25" t="str">
        <f aca="false">IFERROR(AVERAGEIFS('Test Log'!$K$5:$K$10,'Test Log'!$B$5:$B$10,$A5,'Test Log'!$C$5:$C$10,"AWS"),"")</f>
        <v/>
      </c>
      <c r="C5" s="25" t="str">
        <f aca="false">IFERROR(AVERAGEIFS('Test Log'!$K$5:$K$10,'Test Log'!$B$5:$B$10,$A5,'Test Log'!$C$5:$C$10,"GCP"),"")</f>
        <v/>
      </c>
      <c r="D5" s="25" t="str">
        <f aca="false">IFERROR(B5-C5,"")</f>
        <v/>
      </c>
      <c r="E5" s="26" t="str">
        <f aca="false">IFERROR(AVERAGEIFS('Test Log'!$M$5:$M$10,'Test Log'!$B$5:$B$10,$A5,'Test Log'!$C$5:$C$10,"AWS"),"")</f>
        <v/>
      </c>
      <c r="F5" s="26" t="str">
        <f aca="false">IFERROR(AVERAGEIFS('Test Log'!$M$5:$M$10,'Test Log'!$B$5:$B$10,$A5,'Test Log'!$C$5:$C$10,"GCP"),"")</f>
        <v/>
      </c>
    </row>
    <row r="6" customFormat="false" ht="21.75" hidden="false" customHeight="true" outlineLevel="0" collapsed="false">
      <c r="A6" s="21" t="s">
        <v>44</v>
      </c>
      <c r="B6" s="22" t="str">
        <f aca="false">IFERROR(AVERAGEIFS('Test Log'!$K$5:$K$10,'Test Log'!$B$5:$B$10,$A6,'Test Log'!$C$5:$C$10,"AWS"),"")</f>
        <v/>
      </c>
      <c r="C6" s="22" t="str">
        <f aca="false">IFERROR(AVERAGEIFS('Test Log'!$K$5:$K$10,'Test Log'!$B$5:$B$10,$A6,'Test Log'!$C$5:$C$10,"GCP"),"")</f>
        <v/>
      </c>
      <c r="D6" s="22" t="str">
        <f aca="false">IFERROR(B6-C6,"")</f>
        <v/>
      </c>
      <c r="E6" s="23" t="str">
        <f aca="false">IFERROR(AVERAGEIFS('Test Log'!$M$5:$M$10,'Test Log'!$B$5:$B$10,$A6,'Test Log'!$C$5:$C$10,"AWS"),"")</f>
        <v/>
      </c>
      <c r="F6" s="23" t="str">
        <f aca="false">IFERROR(AVERAGEIFS('Test Log'!$M$5:$M$10,'Test Log'!$B$5:$B$10,$A6,'Test Log'!$C$5:$C$10,"GCP"),"")</f>
        <v/>
      </c>
    </row>
    <row r="8" customFormat="false" ht="39.75" hidden="false" customHeight="true" outlineLevel="0" collapsed="false">
      <c r="A8" s="2" t="s">
        <v>52</v>
      </c>
      <c r="B8" s="27" t="s">
        <v>53</v>
      </c>
      <c r="C8" s="27"/>
      <c r="D8" s="27"/>
      <c r="E8" s="27"/>
      <c r="F8" s="27"/>
    </row>
  </sheetData>
  <mergeCells count="2">
    <mergeCell ref="A1:F1"/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2026-08-04T19:06:22Z</dcterms:created>
  <dc:creator>openpyxl</dc:creator>
  <dc:description/>
  <dc:language>en-US</dc:language>
  <cp:lastModifiedBy/>
  <dcterms:modified xsi:type="dcterms:W3CDTF">2026-08-04T19:06:22Z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